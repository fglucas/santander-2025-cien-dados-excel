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BE8EA79B-DDAB-4AB4-91EA-91E5C14C61A3}" xr6:coauthVersionLast="47" xr6:coauthVersionMax="47" xr10:uidLastSave="{00000000-0000-0000-0000-000000000000}"/>
  <bookViews>
    <workbookView xWindow="-120" yWindow="-120" windowWidth="25440" windowHeight="1539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<sst xmlns="http://schemas.openxmlformats.org/spreadsheetml/2006/main" count="2037" uniqueCount="337">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</sst>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[Projeto_xbox_excel.xlsx]C̳álculos!tbl_annual_total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[Projeto_xbox_excel.xlsx]C̳álculos!Tabela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22C55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65039570329499E-2"/>
          <c:y val="0.13721379356101826"/>
          <c:w val="0.90125107724293885"/>
          <c:h val="0.73240679228296812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C̳álculos!$C$41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C̳álculos!$B$42:$B$54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C̳álculos!$C$42:$C$54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DB-4EFF-B475-554C306D6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595904"/>
        <c:axId val="556599144"/>
      </c:lineChart>
      <c:catAx>
        <c:axId val="5565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556599144"/>
        <c:crosses val="autoZero"/>
        <c:auto val="1"/>
        <c:lblAlgn val="ctr"/>
        <c:lblOffset val="100"/>
        <c:noMultiLvlLbl val="0"/>
      </c:catAx>
      <c:valAx>
        <c:axId val="55659914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65959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85694" y="1182501"/>
          <a:ext cx="4640637" cy="1655530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672247" y="1182501"/>
          <a:ext cx="4637134" cy="1579330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83345</xdr:rowOff>
    </xdr:from>
    <xdr:to>
      <xdr:col>19</xdr:col>
      <xdr:colOff>142761</xdr:colOff>
      <xdr:row>34</xdr:row>
      <xdr:rowOff>142875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B5CDB640-4610-BECA-24AE-1D70485A52D3}"/>
            </a:ext>
          </a:extLst>
        </xdr:cNvPr>
        <xdr:cNvGrpSpPr/>
      </xdr:nvGrpSpPr>
      <xdr:grpSpPr>
        <a:xfrm>
          <a:off x="2073788" y="3176169"/>
          <a:ext cx="10249767" cy="3298030"/>
          <a:chOff x="2078831" y="3178970"/>
          <a:chExt cx="10322605" cy="3298030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0854" y="3178970"/>
            <a:ext cx="1031058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78831" y="3178970"/>
            <a:ext cx="10316765" cy="42267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21/01/2026 09:00:00</a:t>
          </a:r>
        </a:p>
      </xdr:txBody>
    </xdr:sp>
    <xdr:clientData/>
  </xdr:twoCellAnchor>
  <xdr:twoCellAnchor>
    <xdr:from>
      <xdr:col>2</xdr:col>
      <xdr:colOff>11906</xdr:colOff>
      <xdr:row>36</xdr:row>
      <xdr:rowOff>2910</xdr:rowOff>
    </xdr:from>
    <xdr:to>
      <xdr:col>19</xdr:col>
      <xdr:colOff>144594</xdr:colOff>
      <xdr:row>53</xdr:row>
      <xdr:rowOff>62441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BC00E60-97A8-30D1-8FBC-5A6CBDD82566}"/>
            </a:ext>
          </a:extLst>
        </xdr:cNvPr>
        <xdr:cNvGrpSpPr/>
      </xdr:nvGrpSpPr>
      <xdr:grpSpPr>
        <a:xfrm>
          <a:off x="2073788" y="6715234"/>
          <a:ext cx="10251600" cy="3298031"/>
          <a:chOff x="2090474" y="6723327"/>
          <a:chExt cx="10387840" cy="329803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0B606E8D-F2D1-97EF-D363-4E0F4B46C936}"/>
              </a:ext>
            </a:extLst>
          </xdr:cNvPr>
          <xdr:cNvSpPr/>
        </xdr:nvSpPr>
        <xdr:spPr>
          <a:xfrm>
            <a:off x="2102496" y="6723328"/>
            <a:ext cx="10374082" cy="3298030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062DAF2C-FAF8-4B96-8EA1-30B5E205549F}"/>
              </a:ext>
            </a:extLst>
          </xdr:cNvPr>
          <xdr:cNvSpPr/>
        </xdr:nvSpPr>
        <xdr:spPr>
          <a:xfrm>
            <a:off x="2090474" y="6723327"/>
            <a:ext cx="10387840" cy="44952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VALUE PER MONTH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2024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4374AC9D-9DF6-477F-B4BB-20FF91867221}"/>
              </a:ext>
            </a:extLst>
          </xdr:cNvPr>
          <xdr:cNvGraphicFramePr>
            <a:graphicFrameLocks/>
          </xdr:cNvGraphicFramePr>
        </xdr:nvGraphicFramePr>
        <xdr:xfrm>
          <a:off x="2167466" y="7101417"/>
          <a:ext cx="10109201" cy="28257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 editAs="oneCell">
    <xdr:from>
      <xdr:col>0</xdr:col>
      <xdr:colOff>0</xdr:colOff>
      <xdr:row>16</xdr:row>
      <xdr:rowOff>89086</xdr:rowOff>
    </xdr:from>
    <xdr:to>
      <xdr:col>1</xdr:col>
      <xdr:colOff>2241</xdr:colOff>
      <xdr:row>22</xdr:row>
      <xdr:rowOff>179294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Auto Renewal">
              <a:extLst>
                <a:ext uri="{FF2B5EF4-FFF2-40B4-BE49-F238E27FC236}">
                  <a16:creationId xmlns:a16="http://schemas.microsoft.com/office/drawing/2014/main" id="{15C86771-4B2A-8E9F-ED37-ADED427C61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91410"/>
              <a:ext cx="1828800" cy="1233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C22C6-52A7-437C-85D1-00D55703D29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41:C54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477AB22A-EB79-4A39-80AA-A99B66EEBE09}" sourceName="Auto Renewal">
  <pivotTables>
    <pivotTable tabId="3" name="tbl_annual_total"/>
    <pivotTable tabId="3" name="Tabela dinâmica1"/>
    <pivotTable tabId="3" name="Tabela dinâmica9"/>
    <pivotTable tabId="3" name="tbl_easeasonpass_total"/>
  </pivotTables>
  <data>
    <tabular pivotCacheId="1765956580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  <slicer name="Auto Renewal" xr10:uid="{368B9849-03F2-480D-9E07-68E2859A65CC}" cache="SegmentaçãodeDados_Auto_Renewal" caption="Auto Renewal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60" zoomScale="90" zoomScaleNormal="90" workbookViewId="0">
      <selection sqref="A1:M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4"/>
  <sheetViews>
    <sheetView showGridLines="0" topLeftCell="A19" workbookViewId="0">
      <selection activeCell="D60" sqref="D60"/>
    </sheetView>
  </sheetViews>
  <sheetFormatPr defaultRowHeight="15" x14ac:dyDescent="0.25"/>
  <cols>
    <col min="2" max="2" width="18.42578125" bestFit="1" customWidth="1"/>
    <col min="3" max="3" width="27.71093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324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3847</v>
      </c>
    </row>
    <row r="13" spans="2:6" x14ac:dyDescent="0.25">
      <c r="B13" s="14" t="s">
        <v>19</v>
      </c>
      <c r="C13" s="13">
        <v>3786</v>
      </c>
    </row>
    <row r="14" spans="2:6" x14ac:dyDescent="0.25">
      <c r="B14" s="14" t="s">
        <v>310</v>
      </c>
      <c r="C14" s="13">
        <v>7633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324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2940</v>
      </c>
    </row>
    <row r="25" spans="2:5" x14ac:dyDescent="0.25">
      <c r="B25" s="14" t="s">
        <v>310</v>
      </c>
      <c r="C25" s="20">
        <v>2940</v>
      </c>
      <c r="E25" s="16">
        <f>GETPIVOTDATA("EA Play Season Pass
Price",$B$21)</f>
        <v>2940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324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1920</v>
      </c>
    </row>
    <row r="35" spans="2:5" x14ac:dyDescent="0.25">
      <c r="B35" s="14" t="s">
        <v>18</v>
      </c>
      <c r="C35" s="13">
        <v>1960</v>
      </c>
    </row>
    <row r="36" spans="2:5" x14ac:dyDescent="0.25">
      <c r="B36" s="14" t="s">
        <v>310</v>
      </c>
      <c r="C36" s="13">
        <v>3880</v>
      </c>
      <c r="E36" s="16">
        <f>GETPIVOTDATA("Minecraft Season Pass Price",$B$32)</f>
        <v>3880</v>
      </c>
    </row>
    <row r="41" spans="2:5" x14ac:dyDescent="0.25">
      <c r="B41" s="12" t="s">
        <v>309</v>
      </c>
      <c r="C41" t="s">
        <v>319</v>
      </c>
    </row>
    <row r="42" spans="2:5" x14ac:dyDescent="0.25">
      <c r="B42" s="14" t="s">
        <v>325</v>
      </c>
      <c r="C42" s="13">
        <v>65</v>
      </c>
    </row>
    <row r="43" spans="2:5" x14ac:dyDescent="0.25">
      <c r="B43" s="14" t="s">
        <v>326</v>
      </c>
      <c r="C43" s="13">
        <v>82</v>
      </c>
    </row>
    <row r="44" spans="2:5" x14ac:dyDescent="0.25">
      <c r="B44" s="14" t="s">
        <v>327</v>
      </c>
      <c r="C44" s="13">
        <v>801</v>
      </c>
    </row>
    <row r="45" spans="2:5" x14ac:dyDescent="0.25">
      <c r="B45" s="14" t="s">
        <v>328</v>
      </c>
      <c r="C45" s="13">
        <v>782</v>
      </c>
    </row>
    <row r="46" spans="2:5" x14ac:dyDescent="0.25">
      <c r="B46" s="14" t="s">
        <v>329</v>
      </c>
      <c r="C46" s="13">
        <v>777</v>
      </c>
    </row>
    <row r="47" spans="2:5" x14ac:dyDescent="0.25">
      <c r="B47" s="14" t="s">
        <v>330</v>
      </c>
      <c r="C47" s="13">
        <v>770</v>
      </c>
    </row>
    <row r="48" spans="2:5" x14ac:dyDescent="0.25">
      <c r="B48" s="14" t="s">
        <v>331</v>
      </c>
      <c r="C48" s="13">
        <v>784</v>
      </c>
    </row>
    <row r="49" spans="2:3" x14ac:dyDescent="0.25">
      <c r="B49" s="14" t="s">
        <v>332</v>
      </c>
      <c r="C49" s="13">
        <v>787</v>
      </c>
    </row>
    <row r="50" spans="2:3" x14ac:dyDescent="0.25">
      <c r="B50" s="14" t="s">
        <v>333</v>
      </c>
      <c r="C50" s="13">
        <v>780</v>
      </c>
    </row>
    <row r="51" spans="2:3" x14ac:dyDescent="0.25">
      <c r="B51" s="14" t="s">
        <v>334</v>
      </c>
      <c r="C51" s="13">
        <v>832</v>
      </c>
    </row>
    <row r="52" spans="2:3" x14ac:dyDescent="0.25">
      <c r="B52" s="14" t="s">
        <v>335</v>
      </c>
      <c r="C52" s="13">
        <v>784</v>
      </c>
    </row>
    <row r="53" spans="2:3" x14ac:dyDescent="0.25">
      <c r="B53" s="14" t="s">
        <v>336</v>
      </c>
      <c r="C53" s="13">
        <v>389</v>
      </c>
    </row>
    <row r="54" spans="2:3" x14ac:dyDescent="0.25">
      <c r="B54" s="14" t="s">
        <v>310</v>
      </c>
      <c r="C54" s="13">
        <v>7633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85" zoomScaleNormal="85" workbookViewId="0"/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Lucas Gonçalves</cp:lastModifiedBy>
  <dcterms:created xsi:type="dcterms:W3CDTF">2024-12-19T13:13:10Z</dcterms:created>
  <dcterms:modified xsi:type="dcterms:W3CDTF">2026-01-21T21:39:50Z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